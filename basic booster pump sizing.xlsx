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isen-my.sharepoint.com/personal/info_krisen_ca/Documents/booster pump sizing/"/>
    </mc:Choice>
  </mc:AlternateContent>
  <xr:revisionPtr revIDLastSave="9" documentId="13_ncr:1_{A33BFA44-94E2-4087-925B-F453671183AA}" xr6:coauthVersionLast="47" xr6:coauthVersionMax="47" xr10:uidLastSave="{1436D383-09ED-634D-B124-01CC9483E930}"/>
  <bookViews>
    <workbookView xWindow="500" yWindow="900" windowWidth="27160" windowHeight="18700" xr2:uid="{F06A234B-AD8F-408D-A424-9FF35D6C9071}"/>
  </bookViews>
  <sheets>
    <sheet name="flow rate" sheetId="3" r:id="rId1"/>
    <sheet name="day tank" sheetId="1" r:id="rId2"/>
    <sheet name="Municipal lin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2" l="1"/>
  <c r="H40" i="2"/>
  <c r="F40" i="2"/>
  <c r="E41" i="2"/>
  <c r="F51" i="1"/>
  <c r="I40" i="1"/>
  <c r="I33" i="3"/>
  <c r="I36" i="3" s="1"/>
  <c r="F19" i="3"/>
  <c r="F17" i="3"/>
  <c r="F16" i="3"/>
  <c r="F15" i="3"/>
  <c r="F14" i="3"/>
  <c r="F11" i="3"/>
  <c r="F10" i="3"/>
  <c r="I37" i="3" l="1"/>
  <c r="I38" i="3"/>
  <c r="F41" i="1" l="1"/>
  <c r="I45" i="1" s="1"/>
  <c r="H55" i="2"/>
  <c r="H54" i="2"/>
  <c r="H53" i="2"/>
  <c r="F50" i="2"/>
  <c r="H50" i="2" s="1"/>
  <c r="H45" i="2"/>
  <c r="H44" i="2"/>
  <c r="H43" i="2"/>
  <c r="F39" i="2"/>
  <c r="H39" i="2" s="1"/>
  <c r="I55" i="1"/>
  <c r="I54" i="1"/>
  <c r="I53" i="1"/>
  <c r="I50" i="1"/>
  <c r="I44" i="1"/>
  <c r="G39" i="1"/>
  <c r="I39" i="1" s="1"/>
  <c r="H56" i="2" l="1"/>
  <c r="H59" i="2" s="1"/>
  <c r="H46" i="2"/>
  <c r="I56" i="1"/>
  <c r="I43" i="1"/>
  <c r="I46" i="1" s="1"/>
  <c r="I5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Dexter Mabalot</author>
  </authors>
  <commentList>
    <comment ref="F42" authorId="0" shapeId="0" xr:uid="{55FC1ADB-2787-4F62-9475-455C5EE64ECB}">
      <text>
        <r>
          <rPr>
            <b/>
            <sz val="9"/>
            <color indexed="81"/>
            <rFont val="Tahoma"/>
            <family val="2"/>
          </rPr>
          <t>Dexter Mabalot:</t>
        </r>
        <r>
          <rPr>
            <sz val="9"/>
            <color indexed="81"/>
            <rFont val="Tahoma"/>
            <family val="2"/>
          </rPr>
          <t xml:space="preserve">
this is an assumption, rule of thumb
</t>
        </r>
      </text>
    </comment>
    <comment ref="F52" authorId="0" shapeId="0" xr:uid="{9B845D13-6A97-4F2B-91C7-3EFF24A1864F}">
      <text>
        <r>
          <rPr>
            <b/>
            <sz val="9"/>
            <color indexed="81"/>
            <rFont val="Tahoma"/>
            <family val="2"/>
          </rPr>
          <t>Dexter Mabalot:</t>
        </r>
        <r>
          <rPr>
            <sz val="9"/>
            <color indexed="81"/>
            <rFont val="Tahoma"/>
            <family val="2"/>
          </rPr>
          <t xml:space="preserve">
this is an assumption, rule of thumb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Dexter Mabalot</author>
  </authors>
  <commentList>
    <comment ref="E42" authorId="0" shapeId="0" xr:uid="{C8932C79-0BF8-4FC5-8DA2-E2BADBD66FC1}">
      <text>
        <r>
          <rPr>
            <b/>
            <sz val="9"/>
            <color indexed="81"/>
            <rFont val="Tahoma"/>
            <family val="2"/>
          </rPr>
          <t>Dexter Mabalot:</t>
        </r>
        <r>
          <rPr>
            <sz val="9"/>
            <color indexed="81"/>
            <rFont val="Tahoma"/>
            <family val="2"/>
          </rPr>
          <t xml:space="preserve">
this is an assumption, rule of thumb
</t>
        </r>
      </text>
    </comment>
    <comment ref="E52" authorId="0" shapeId="0" xr:uid="{53254ADC-F7BE-470F-B9D5-3C6F84BCF89A}">
      <text>
        <r>
          <rPr>
            <b/>
            <sz val="9"/>
            <color indexed="81"/>
            <rFont val="Tahoma"/>
            <family val="2"/>
          </rPr>
          <t>Dexter Mabalot:</t>
        </r>
        <r>
          <rPr>
            <sz val="9"/>
            <color indexed="81"/>
            <rFont val="Tahoma"/>
            <family val="2"/>
          </rPr>
          <t xml:space="preserve">
this is an assumption, rule of thumb
</t>
        </r>
      </text>
    </comment>
  </commentList>
</comments>
</file>

<file path=xl/sharedStrings.xml><?xml version="1.0" encoding="utf-8"?>
<sst xmlns="http://schemas.openxmlformats.org/spreadsheetml/2006/main" count="135" uniqueCount="57">
  <si>
    <t>psi</t>
  </si>
  <si>
    <t>toilet</t>
  </si>
  <si>
    <t>irrigation</t>
  </si>
  <si>
    <t>elevation from booster pump CL</t>
  </si>
  <si>
    <t>ft</t>
  </si>
  <si>
    <t>ft (suction head)</t>
  </si>
  <si>
    <t>day tank</t>
  </si>
  <si>
    <t>booster</t>
  </si>
  <si>
    <t>Discharge side</t>
  </si>
  <si>
    <t>last fixture, pressure requirement</t>
  </si>
  <si>
    <t>feet</t>
  </si>
  <si>
    <t>last fixture, height from pump</t>
  </si>
  <si>
    <t xml:space="preserve">total pipe run </t>
  </si>
  <si>
    <t>loss per 100 feet</t>
  </si>
  <si>
    <t>losses on overall pipe runs</t>
  </si>
  <si>
    <t>losses on valves</t>
  </si>
  <si>
    <t>losses on fittings (assume 10% of pipe run)</t>
  </si>
  <si>
    <t>discharge side</t>
  </si>
  <si>
    <t>Suction side</t>
  </si>
  <si>
    <t>head at the suction side</t>
  </si>
  <si>
    <t>suction side</t>
  </si>
  <si>
    <t>Total head of booster pump</t>
  </si>
  <si>
    <t xml:space="preserve">municipal line </t>
  </si>
  <si>
    <t>municipal line pressure</t>
  </si>
  <si>
    <t>total pipe run</t>
  </si>
  <si>
    <t>pump sizing</t>
  </si>
  <si>
    <t>fixtures</t>
  </si>
  <si>
    <t>WSFU</t>
  </si>
  <si>
    <t>number of fixtures</t>
  </si>
  <si>
    <t>total</t>
  </si>
  <si>
    <t>private</t>
  </si>
  <si>
    <t>water closet - flush tank</t>
  </si>
  <si>
    <t>water closet - flush valve</t>
  </si>
  <si>
    <t>public</t>
  </si>
  <si>
    <t>urinal - 3/4"</t>
  </si>
  <si>
    <t>urinal - 1"</t>
  </si>
  <si>
    <t>grand total</t>
  </si>
  <si>
    <t>equating WSFU to flow rate depends on the type of dominant toilet type, refer to the IPC chart for values</t>
  </si>
  <si>
    <t>using the chart for predominantly flush valve, total wsfu equates to</t>
  </si>
  <si>
    <t>gpm</t>
  </si>
  <si>
    <t>Irrigation</t>
  </si>
  <si>
    <t>client supplied input</t>
  </si>
  <si>
    <t>total irrigation flowrate</t>
  </si>
  <si>
    <t>or</t>
  </si>
  <si>
    <t>number of sprinkler</t>
  </si>
  <si>
    <t>flow rate, gpm</t>
  </si>
  <si>
    <t>duration, minutes</t>
  </si>
  <si>
    <t>total pump flow rate requirement</t>
  </si>
  <si>
    <t xml:space="preserve"> simplex (100% capacity)</t>
  </si>
  <si>
    <t>duplex (70% capacity</t>
  </si>
  <si>
    <t>triplex (35% capacity)</t>
  </si>
  <si>
    <t>tdh to be calculated on the next step</t>
  </si>
  <si>
    <t>user supplied</t>
  </si>
  <si>
    <t>rule of thumb</t>
  </si>
  <si>
    <t>user should only be able to fill up only one of these options</t>
  </si>
  <si>
    <t>should the difference is only two fixtures between tank and flush valve, we need to use the flush valve</t>
  </si>
  <si>
    <t>this is the value that will pulled by looking up 225 WSFU in the table for estimating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</si>
</sst>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0" fontId="0" fillId="4" borderId="0" xfId="0" applyFill="1"/>
    <xf numFmtId="0" fontId="0" fillId="5" borderId="0" xfId="0" applyFill="1"/>
    <xf numFmtId="0" fontId="0" fillId="0" borderId="2" xfId="0" applyBorder="1"/>
    <xf numFmtId="0" fontId="0" fillId="2" borderId="2" xfId="0" applyFill="1" applyBorder="1"/>
    <xf numFmtId="0" fontId="3" fillId="0" borderId="0" xfId="0" applyFont="1"/>
    <xf numFmtId="0" fontId="4" fillId="0" borderId="3" xfId="0" applyFont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0" fillId="6" borderId="0" xfId="0" applyFill="1"/>
    <xf numFmtId="0" fontId="0" fillId="0" borderId="3" xfId="0" applyBorder="1"/>
    <xf numFmtId="0" fontId="0" fillId="0" borderId="0" xfId="0" applyAlignment="1">
      <alignment horizontal="right"/>
    </xf>
    <xf numFmtId="0" fontId="0" fillId="6" borderId="0" xfId="0" applyFill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7" fillId="0" borderId="0" xfId="0" applyFont="1"/>
    <xf numFmtId="0" fontId="8" fillId="0" borderId="0" xfId="0" applyFont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image" Target="../media/image6.png"/><Relationship Id="rId5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525780</xdr:colOff>
      <xdr:row>26</xdr:row>
      <xdr:rowOff>53340</xdr:rowOff>
    </xdr:from>
    <xdr:to>
      <xdr:col>4</xdr:col>
      <xdr:colOff>60</xdr:colOff>
      <xdr:row>29</xdr:row>
      <xdr:rowOff>91491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FF93E1-2E74-45A8-902D-DFAEE1157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4980" y="4808220"/>
          <a:ext cx="693480" cy="586791"/>
        </a:xfrm>
        <a:prstGeom prst="rect">
          <a:avLst/>
        </a:prstGeom>
      </xdr:spPr>
    </xdr:pic>
    <xdr:clientData/>
  </xdr:twoCellAnchor>
  <xdr:twoCellAnchor>
    <xdr:from>
      <xdr:col>1</xdr:col>
      <xdr:colOff>350520</xdr:colOff>
      <xdr:row>28</xdr:row>
      <xdr:rowOff>7620</xdr:rowOff>
    </xdr:from>
    <xdr:to>
      <xdr:col>2</xdr:col>
      <xdr:colOff>457200</xdr:colOff>
      <xdr:row>28</xdr:row>
      <xdr:rowOff>22860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63C8878-70C0-4577-97AF-9D3210ECF2D3}"/>
            </a:ext>
          </a:extLst>
        </xdr:cNvPr>
        <xdr:cNvCxnSpPr/>
      </xdr:nvCxnSpPr>
      <xdr:spPr>
        <a:xfrm>
          <a:off x="960120" y="5128260"/>
          <a:ext cx="71628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556260</xdr:colOff>
      <xdr:row>16</xdr:row>
      <xdr:rowOff>99060</xdr:rowOff>
    </xdr:from>
    <xdr:to>
      <xdr:col>7</xdr:col>
      <xdr:colOff>160020</xdr:colOff>
      <xdr:row>27</xdr:row>
      <xdr:rowOff>7620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8615D92C-0CDD-44B9-B2E3-7C7C303F0C6A}"/>
            </a:ext>
          </a:extLst>
        </xdr:cNvPr>
        <xdr:cNvCxnSpPr/>
      </xdr:nvCxnSpPr>
      <xdr:spPr>
        <a:xfrm flipV="1">
          <a:off x="2385060" y="3025140"/>
          <a:ext cx="2042160" cy="19202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294834</xdr:colOff>
      <xdr:row>13</xdr:row>
      <xdr:rowOff>106680</xdr:rowOff>
    </xdr:from>
    <xdr:to>
      <xdr:col>7</xdr:col>
      <xdr:colOff>114347</xdr:colOff>
      <xdr:row>16</xdr:row>
      <xdr:rowOff>22912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A96DFC-133D-4587-AAC4-9C9BAA4C7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52434" y="2484120"/>
          <a:ext cx="429113" cy="4648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38100</xdr:rowOff>
    </xdr:from>
    <xdr:to>
      <xdr:col>2</xdr:col>
      <xdr:colOff>133990</xdr:colOff>
      <xdr:row>31</xdr:row>
      <xdr:rowOff>7620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83DC64-0556-4113-9B5C-62FCEEC95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878580"/>
          <a:ext cx="1353190" cy="1798320"/>
        </a:xfrm>
        <a:prstGeom prst="rect">
          <a:avLst/>
        </a:prstGeom>
      </xdr:spPr>
    </xdr:pic>
    <xdr:clientData/>
  </xdr:twoCellAnchor>
  <xdr:twoCellAnchor editAs="oneCell">
    <xdr:from>
      <xdr:col>2</xdr:col>
      <xdr:colOff>449580</xdr:colOff>
      <xdr:row>26</xdr:row>
      <xdr:rowOff>45720</xdr:rowOff>
    </xdr:from>
    <xdr:to>
      <xdr:col>3</xdr:col>
      <xdr:colOff>533460</xdr:colOff>
      <xdr:row>29</xdr:row>
      <xdr:rowOff>83871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F58D097-103D-4946-8240-21402BC78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8780" y="4800600"/>
          <a:ext cx="693480" cy="586791"/>
        </a:xfrm>
        <a:prstGeom prst="rect">
          <a:avLst/>
        </a:prstGeom>
      </xdr:spPr>
    </xdr:pic>
    <xdr:clientData/>
  </xdr:twoCellAnchor>
  <xdr:twoCellAnchor>
    <xdr:from>
      <xdr:col>1</xdr:col>
      <xdr:colOff>350520</xdr:colOff>
      <xdr:row>28</xdr:row>
      <xdr:rowOff>7620</xdr:rowOff>
    </xdr:from>
    <xdr:to>
      <xdr:col>2</xdr:col>
      <xdr:colOff>457200</xdr:colOff>
      <xdr:row>28</xdr:row>
      <xdr:rowOff>22860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2BAEAE5-477C-4DD2-95D2-DBB9CEE231C9}"/>
            </a:ext>
          </a:extLst>
        </xdr:cNvPr>
        <xdr:cNvCxnSpPr/>
      </xdr:nvCxnSpPr>
      <xdr:spPr>
        <a:xfrm>
          <a:off x="960120" y="5128260"/>
          <a:ext cx="71628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556260</xdr:colOff>
      <xdr:row>16</xdr:row>
      <xdr:rowOff>99060</xdr:rowOff>
    </xdr:from>
    <xdr:to>
      <xdr:col>7</xdr:col>
      <xdr:colOff>160020</xdr:colOff>
      <xdr:row>27</xdr:row>
      <xdr:rowOff>7620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0AD2E420-038C-4815-BC3A-29D543753CE9}"/>
            </a:ext>
          </a:extLst>
        </xdr:cNvPr>
        <xdr:cNvCxnSpPr/>
      </xdr:nvCxnSpPr>
      <xdr:spPr>
        <a:xfrm flipV="1">
          <a:off x="2385060" y="3025140"/>
          <a:ext cx="2042160" cy="19202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205740</xdr:colOff>
      <xdr:row>14</xdr:row>
      <xdr:rowOff>129540</xdr:rowOff>
    </xdr:from>
    <xdr:to>
      <xdr:col>8</xdr:col>
      <xdr:colOff>52753</xdr:colOff>
      <xdr:row>17</xdr:row>
      <xdr:rowOff>15240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09E-2B60-4F2C-B127-54DF0C9DF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72940" y="2689860"/>
          <a:ext cx="456613" cy="434340"/>
        </a:xfrm>
        <a:prstGeom prst="rect">
          <a:avLst/>
        </a:prstGeom>
      </xdr:spPr>
    </xdr:pic>
    <xdr:clientData/>
  </xdr:twoCellAnchor>
  <xdr:twoCellAnchor editAs="oneCell">
    <xdr:from>
      <xdr:col>7</xdr:col>
      <xdr:colOff>274320</xdr:colOff>
      <xdr:row>17</xdr:row>
      <xdr:rowOff>53341</xdr:rowOff>
    </xdr:from>
    <xdr:to>
      <xdr:col>7</xdr:col>
      <xdr:colOff>601980</xdr:colOff>
      <xdr:row>18</xdr:row>
      <xdr:rowOff>111655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D6EB24B-3C1D-49D8-BE27-A04BCD076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41520" y="3162301"/>
          <a:ext cx="327660" cy="241194"/>
        </a:xfrm>
        <a:prstGeom prst="rect">
          <a:avLst/>
        </a:prstGeom>
      </xdr:spPr>
    </xdr:pic>
    <xdr:clientData/>
  </xdr:twoCellAnchor>
  <xdr:twoCellAnchor editAs="oneCell">
    <xdr:from>
      <xdr:col>6</xdr:col>
      <xdr:colOff>205740</xdr:colOff>
      <xdr:row>12</xdr:row>
      <xdr:rowOff>160020</xdr:rowOff>
    </xdr:from>
    <xdr:to>
      <xdr:col>7</xdr:col>
      <xdr:colOff>144828</xdr:colOff>
      <xdr:row>16</xdr:row>
      <xdr:rowOff>22912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6ADF8CA-DE4A-4F52-97A6-FA0F422EB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63340" y="2354580"/>
          <a:ext cx="548688" cy="594412"/>
        </a:xfrm>
        <a:prstGeom prst="rect">
          <a:avLst/>
        </a:prstGeom>
      </xdr:spPr>
    </xdr:pic>
    <xdr:clientData/>
  </xdr:twoCellAnchor>
  <xdr:twoCellAnchor>
    <xdr:from>
      <xdr:col>6</xdr:col>
      <xdr:colOff>434340</xdr:colOff>
      <xdr:row>16</xdr:row>
      <xdr:rowOff>91440</xdr:rowOff>
    </xdr:from>
    <xdr:to>
      <xdr:col>6</xdr:col>
      <xdr:colOff>457200</xdr:colOff>
      <xdr:row>27</xdr:row>
      <xdr:rowOff>22860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1DA0145D-7DEC-480A-A302-E5F4EEF86FA9}"/>
            </a:ext>
          </a:extLst>
        </xdr:cNvPr>
        <xdr:cNvCxnSpPr/>
      </xdr:nvCxnSpPr>
      <xdr:spPr>
        <a:xfrm>
          <a:off x="4091940" y="3017520"/>
          <a:ext cx="22860" cy="19431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22</xdr:row>
      <xdr:rowOff>22860</xdr:rowOff>
    </xdr:from>
    <xdr:to>
      <xdr:col>2</xdr:col>
      <xdr:colOff>7620</xdr:colOff>
      <xdr:row>28</xdr:row>
      <xdr:rowOff>7620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610726A-911D-41CE-A185-8B80B35755F8}"/>
            </a:ext>
          </a:extLst>
        </xdr:cNvPr>
        <xdr:cNvCxnSpPr/>
      </xdr:nvCxnSpPr>
      <xdr:spPr>
        <a:xfrm>
          <a:off x="1219200" y="4046220"/>
          <a:ext cx="7620" cy="10820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127692</xdr:colOff>
      <xdr:row>22</xdr:row>
      <xdr:rowOff>68580</xdr:rowOff>
    </xdr:from>
    <xdr:to>
      <xdr:col>1</xdr:col>
      <xdr:colOff>495409</xdr:colOff>
      <xdr:row>28</xdr:row>
      <xdr:rowOff>167773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88FB5F-4ADC-4934-9B20-763CE6E82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92" y="4091940"/>
          <a:ext cx="977317" cy="1196473"/>
        </a:xfrm>
        <a:prstGeom prst="rect">
          <a:avLst/>
        </a:prstGeom>
      </xdr:spPr>
    </xdr:pic>
    <xdr:clientData/>
  </xdr:twoCellAnchor>
  <xdr:twoCellAnchor editAs="oneCell">
    <xdr:from>
      <xdr:col>2</xdr:col>
      <xdr:colOff>449580</xdr:colOff>
      <xdr:row>26</xdr:row>
      <xdr:rowOff>45720</xdr:rowOff>
    </xdr:from>
    <xdr:to>
      <xdr:col>3</xdr:col>
      <xdr:colOff>533460</xdr:colOff>
      <xdr:row>29</xdr:row>
      <xdr:rowOff>83871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4C1A55-7D73-4F96-8015-E2BFC3425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8780" y="4800600"/>
          <a:ext cx="693480" cy="586791"/>
        </a:xfrm>
        <a:prstGeom prst="rect">
          <a:avLst/>
        </a:prstGeom>
      </xdr:spPr>
    </xdr:pic>
    <xdr:clientData/>
  </xdr:twoCellAnchor>
  <xdr:twoCellAnchor>
    <xdr:from>
      <xdr:col>1</xdr:col>
      <xdr:colOff>350520</xdr:colOff>
      <xdr:row>28</xdr:row>
      <xdr:rowOff>7620</xdr:rowOff>
    </xdr:from>
    <xdr:to>
      <xdr:col>2</xdr:col>
      <xdr:colOff>457200</xdr:colOff>
      <xdr:row>28</xdr:row>
      <xdr:rowOff>22860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D398D79-49F9-4897-A625-DDD0A0280734}"/>
            </a:ext>
          </a:extLst>
        </xdr:cNvPr>
        <xdr:cNvCxnSpPr/>
      </xdr:nvCxnSpPr>
      <xdr:spPr>
        <a:xfrm>
          <a:off x="960120" y="5128260"/>
          <a:ext cx="71628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556260</xdr:colOff>
      <xdr:row>16</xdr:row>
      <xdr:rowOff>99060</xdr:rowOff>
    </xdr:from>
    <xdr:to>
      <xdr:col>7</xdr:col>
      <xdr:colOff>160020</xdr:colOff>
      <xdr:row>27</xdr:row>
      <xdr:rowOff>7620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0E69B964-50F5-4565-A430-387332417A24}"/>
            </a:ext>
          </a:extLst>
        </xdr:cNvPr>
        <xdr:cNvCxnSpPr/>
      </xdr:nvCxnSpPr>
      <xdr:spPr>
        <a:xfrm flipV="1">
          <a:off x="2385060" y="3025140"/>
          <a:ext cx="2042160" cy="19202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205740</xdr:colOff>
      <xdr:row>14</xdr:row>
      <xdr:rowOff>129540</xdr:rowOff>
    </xdr:from>
    <xdr:to>
      <xdr:col>8</xdr:col>
      <xdr:colOff>52753</xdr:colOff>
      <xdr:row>17</xdr:row>
      <xdr:rowOff>15240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A43947-96D1-4E3E-930F-7D7C32E0D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2940" y="2689860"/>
          <a:ext cx="456613" cy="434340"/>
        </a:xfrm>
        <a:prstGeom prst="rect">
          <a:avLst/>
        </a:prstGeom>
      </xdr:spPr>
    </xdr:pic>
    <xdr:clientData/>
  </xdr:twoCellAnchor>
  <xdr:twoCellAnchor editAs="oneCell">
    <xdr:from>
      <xdr:col>7</xdr:col>
      <xdr:colOff>274320</xdr:colOff>
      <xdr:row>17</xdr:row>
      <xdr:rowOff>53341</xdr:rowOff>
    </xdr:from>
    <xdr:to>
      <xdr:col>7</xdr:col>
      <xdr:colOff>601980</xdr:colOff>
      <xdr:row>18</xdr:row>
      <xdr:rowOff>111655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11303AA-B842-4BC8-B7A3-95653D6A0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41520" y="3162301"/>
          <a:ext cx="327660" cy="241194"/>
        </a:xfrm>
        <a:prstGeom prst="rect">
          <a:avLst/>
        </a:prstGeom>
      </xdr:spPr>
    </xdr:pic>
    <xdr:clientData/>
  </xdr:twoCellAnchor>
  <xdr:twoCellAnchor editAs="oneCell">
    <xdr:from>
      <xdr:col>6</xdr:col>
      <xdr:colOff>205740</xdr:colOff>
      <xdr:row>12</xdr:row>
      <xdr:rowOff>160020</xdr:rowOff>
    </xdr:from>
    <xdr:to>
      <xdr:col>7</xdr:col>
      <xdr:colOff>144828</xdr:colOff>
      <xdr:row>16</xdr:row>
      <xdr:rowOff>22912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A396197-F920-449C-BCBD-A686DFCB2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63340" y="2354580"/>
          <a:ext cx="548688" cy="594412"/>
        </a:xfrm>
        <a:prstGeom prst="rect">
          <a:avLst/>
        </a:prstGeom>
      </xdr:spPr>
    </xdr:pic>
    <xdr:clientData/>
  </xdr:twoCellAnchor>
  <xdr:twoCellAnchor>
    <xdr:from>
      <xdr:col>6</xdr:col>
      <xdr:colOff>434340</xdr:colOff>
      <xdr:row>16</xdr:row>
      <xdr:rowOff>91440</xdr:rowOff>
    </xdr:from>
    <xdr:to>
      <xdr:col>6</xdr:col>
      <xdr:colOff>457200</xdr:colOff>
      <xdr:row>27</xdr:row>
      <xdr:rowOff>22860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9075FDB-2345-4526-8142-9F5DB01337BF}"/>
            </a:ext>
          </a:extLst>
        </xdr:cNvPr>
        <xdr:cNvCxnSpPr/>
      </xdr:nvCxnSpPr>
      <xdr:spPr>
        <a:xfrm>
          <a:off x="4091940" y="3017520"/>
          <a:ext cx="22860" cy="19431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9735-24EA-4DF2-BF48-B5994F9E105A}">
  <dimension ref="B6:M40"/>
  <sheetViews>
    <sheetView tabSelected="1" topLeftCell="A5" zoomScale="120" zoomScaleNormal="120" workbookViewId="0">
      <selection activeCell="K25" sqref="K25"/>
    </sheetView>
  </sheetViews>
  <sheetFormatPr baseColWidth="10" defaultColWidth="8.83203125" defaultRowHeight="15" x14ac:dyDescent="0.2"/>
  <cols>
    <col min="2" max="2" width="20.5" customWidth="1"/>
    <col min="3" max="3" width="21.83203125" bestFit="1" customWidth="1"/>
    <col min="4" max="4" width="16.33203125" customWidth="1"/>
    <col min="5" max="5" width="16.1640625" bestFit="1" customWidth="1"/>
    <col min="6" max="6" width="16.33203125" customWidth="1"/>
  </cols>
  <sheetData>
    <row r="6" spans="2:6" x14ac:dyDescent="0.2">
      <c r="B6" t="s">
        <v>25</v>
      </c>
    </row>
    <row r="8" spans="2:6" x14ac:dyDescent="0.2">
      <c r="B8" t="s">
        <v>26</v>
      </c>
      <c r="C8" s="7"/>
      <c r="D8" s="7" t="s">
        <v>27</v>
      </c>
      <c r="E8" s="7" t="s">
        <v>28</v>
      </c>
      <c r="F8" s="7" t="s">
        <v>29</v>
      </c>
    </row>
    <row r="9" spans="2:6" x14ac:dyDescent="0.2">
      <c r="C9" s="7" t="s">
        <v>30</v>
      </c>
      <c r="D9" s="7"/>
      <c r="E9" s="7"/>
      <c r="F9" s="7"/>
    </row>
    <row r="10" spans="2:6" x14ac:dyDescent="0.2">
      <c r="C10" s="7" t="s">
        <v>31</v>
      </c>
      <c r="D10" s="7">
        <v>2.2000000000000002</v>
      </c>
      <c r="E10" s="8">
        <v>10</v>
      </c>
      <c r="F10" s="7">
        <f t="shared" ref="F10:F11" si="0">+E10*D10</f>
        <v>22</v>
      </c>
    </row>
    <row r="11" spans="2:6" x14ac:dyDescent="0.2">
      <c r="C11" s="7" t="s">
        <v>32</v>
      </c>
      <c r="D11" s="7">
        <v>6</v>
      </c>
      <c r="E11" s="8"/>
      <c r="F11" s="7">
        <f t="shared" si="0"/>
        <v>0</v>
      </c>
    </row>
    <row r="12" spans="2:6" x14ac:dyDescent="0.2">
      <c r="C12" s="7"/>
      <c r="D12" s="7"/>
      <c r="E12" s="7"/>
      <c r="F12" s="7"/>
    </row>
    <row r="13" spans="2:6" x14ac:dyDescent="0.2">
      <c r="C13" s="7" t="s">
        <v>33</v>
      </c>
      <c r="D13" s="7"/>
      <c r="E13" s="7"/>
      <c r="F13" s="7"/>
    </row>
    <row r="14" spans="2:6" x14ac:dyDescent="0.2">
      <c r="C14" s="7" t="s">
        <v>31</v>
      </c>
      <c r="D14" s="7">
        <v>5</v>
      </c>
      <c r="E14" s="8">
        <v>6</v>
      </c>
      <c r="F14" s="7">
        <f t="shared" ref="F14:F15" si="1">+E14*D14</f>
        <v>30</v>
      </c>
    </row>
    <row r="15" spans="2:6" x14ac:dyDescent="0.2">
      <c r="C15" s="7" t="s">
        <v>32</v>
      </c>
      <c r="D15" s="7">
        <v>10</v>
      </c>
      <c r="E15" s="8">
        <v>15</v>
      </c>
      <c r="F15" s="7">
        <f t="shared" si="1"/>
        <v>150</v>
      </c>
    </row>
    <row r="16" spans="2:6" x14ac:dyDescent="0.2">
      <c r="C16" s="7" t="s">
        <v>34</v>
      </c>
      <c r="D16" s="7">
        <v>5</v>
      </c>
      <c r="E16" s="8">
        <v>5</v>
      </c>
      <c r="F16" s="7">
        <f>+E16*D16</f>
        <v>25</v>
      </c>
    </row>
    <row r="17" spans="2:13" x14ac:dyDescent="0.2">
      <c r="C17" s="7" t="s">
        <v>35</v>
      </c>
      <c r="D17" s="7">
        <v>10</v>
      </c>
      <c r="E17" s="8"/>
      <c r="F17" s="7">
        <f>+E17*D17</f>
        <v>0</v>
      </c>
    </row>
    <row r="19" spans="2:13" x14ac:dyDescent="0.2">
      <c r="E19" s="7" t="s">
        <v>36</v>
      </c>
      <c r="F19" s="7">
        <f>SUM(F10:F17)</f>
        <v>227</v>
      </c>
      <c r="G19" s="7" t="s">
        <v>27</v>
      </c>
    </row>
    <row r="21" spans="2:13" x14ac:dyDescent="0.2">
      <c r="C21" t="s">
        <v>37</v>
      </c>
      <c r="L21" s="21" t="s">
        <v>55</v>
      </c>
    </row>
    <row r="23" spans="2:13" ht="16" thickBot="1" x14ac:dyDescent="0.25"/>
    <row r="24" spans="2:13" ht="16" thickBot="1" x14ac:dyDescent="0.25">
      <c r="D24" t="s">
        <v>38</v>
      </c>
      <c r="I24" s="15">
        <v>95.5</v>
      </c>
      <c r="J24" t="s">
        <v>39</v>
      </c>
      <c r="K24" t="s">
        <v>56</v>
      </c>
    </row>
    <row r="27" spans="2:13" x14ac:dyDescent="0.2">
      <c r="B27" t="s">
        <v>40</v>
      </c>
    </row>
    <row r="28" spans="2:13" ht="16" thickBot="1" x14ac:dyDescent="0.25">
      <c r="C28" t="s">
        <v>41</v>
      </c>
    </row>
    <row r="29" spans="2:13" ht="16" thickBot="1" x14ac:dyDescent="0.25">
      <c r="C29" s="14"/>
      <c r="D29" s="17" t="s">
        <v>42</v>
      </c>
      <c r="I29" s="23"/>
      <c r="J29" t="s">
        <v>39</v>
      </c>
      <c r="L29" s="14"/>
      <c r="M29" s="21" t="s">
        <v>54</v>
      </c>
    </row>
    <row r="30" spans="2:13" x14ac:dyDescent="0.2">
      <c r="D30" s="16"/>
    </row>
    <row r="31" spans="2:13" ht="21" x14ac:dyDescent="0.25">
      <c r="C31" s="22" t="s">
        <v>43</v>
      </c>
    </row>
    <row r="32" spans="2:13" ht="16" thickBot="1" x14ac:dyDescent="0.25">
      <c r="C32" s="14" t="s">
        <v>44</v>
      </c>
      <c r="D32" s="14" t="s">
        <v>45</v>
      </c>
      <c r="E32" s="14" t="s">
        <v>46</v>
      </c>
    </row>
    <row r="33" spans="2:10" ht="16" thickBot="1" x14ac:dyDescent="0.25">
      <c r="C33" s="18">
        <v>10</v>
      </c>
      <c r="D33" s="19">
        <v>0.75</v>
      </c>
      <c r="E33" s="20">
        <v>10</v>
      </c>
      <c r="I33" s="15">
        <f>+C33*D33*E33</f>
        <v>75</v>
      </c>
      <c r="J33" t="s">
        <v>39</v>
      </c>
    </row>
    <row r="35" spans="2:10" ht="27" thickBot="1" x14ac:dyDescent="0.35">
      <c r="B35" s="9" t="s">
        <v>47</v>
      </c>
    </row>
    <row r="36" spans="2:10" ht="30" thickBot="1" x14ac:dyDescent="0.4">
      <c r="B36" s="9" t="s">
        <v>48</v>
      </c>
      <c r="I36" s="10">
        <f>+I33+I29+I24</f>
        <v>170.5</v>
      </c>
      <c r="J36" s="11" t="s">
        <v>39</v>
      </c>
    </row>
    <row r="37" spans="2:10" ht="29" x14ac:dyDescent="0.35">
      <c r="B37" s="9" t="s">
        <v>49</v>
      </c>
      <c r="I37" s="12">
        <f>+I36*0.7</f>
        <v>119.35</v>
      </c>
      <c r="J37" s="11" t="s">
        <v>39</v>
      </c>
    </row>
    <row r="38" spans="2:10" ht="29" x14ac:dyDescent="0.35">
      <c r="B38" s="9" t="s">
        <v>50</v>
      </c>
      <c r="I38" s="12">
        <f>+I36*0.35</f>
        <v>59.674999999999997</v>
      </c>
      <c r="J38" s="11" t="s">
        <v>39</v>
      </c>
    </row>
    <row r="40" spans="2:10" ht="31" x14ac:dyDescent="0.35">
      <c r="B40" s="13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E681-2E81-409E-A18B-821585229D18}">
  <dimension ref="A8:N59"/>
  <sheetViews>
    <sheetView workbookViewId="0">
      <selection activeCell="Q36" sqref="Q36"/>
    </sheetView>
  </sheetViews>
  <sheetFormatPr baseColWidth="10" defaultColWidth="8.83203125" defaultRowHeight="15" x14ac:dyDescent="0.2"/>
  <cols>
    <col min="9" max="9" width="4.1640625" customWidth="1"/>
  </cols>
  <sheetData>
    <row r="8" spans="1:1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">
      <c r="A12" s="1"/>
      <c r="B12" s="1"/>
      <c r="C12" s="1"/>
      <c r="D12" s="1"/>
      <c r="E12" s="1"/>
      <c r="F12" s="1"/>
      <c r="G12" s="6">
        <v>40</v>
      </c>
      <c r="H12" s="1" t="s">
        <v>0</v>
      </c>
      <c r="I12" s="1"/>
      <c r="J12" s="1"/>
      <c r="K12" s="1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">
      <c r="A16" s="1"/>
      <c r="B16" s="1"/>
      <c r="C16" s="1"/>
      <c r="D16" s="1" t="s">
        <v>24</v>
      </c>
      <c r="E16" s="1"/>
      <c r="F16" s="1"/>
      <c r="G16" s="1"/>
      <c r="H16" s="1"/>
      <c r="I16" s="1"/>
      <c r="J16" s="1" t="s">
        <v>1</v>
      </c>
      <c r="K16" s="1"/>
    </row>
    <row r="17" spans="1:11" x14ac:dyDescent="0.2">
      <c r="A17" s="1"/>
      <c r="B17" s="1"/>
      <c r="C17" s="1"/>
      <c r="D17" s="1"/>
      <c r="E17" s="6">
        <v>160</v>
      </c>
      <c r="F17" s="1"/>
      <c r="G17" s="1"/>
      <c r="H17" s="1"/>
      <c r="I17" s="1"/>
      <c r="J17" s="1"/>
      <c r="K17" s="1"/>
    </row>
    <row r="18" spans="1:11" x14ac:dyDescent="0.2">
      <c r="A18" s="1"/>
      <c r="B18" s="1"/>
      <c r="C18" s="1"/>
      <c r="D18" s="1"/>
      <c r="E18" s="1"/>
      <c r="F18" s="1"/>
      <c r="G18" s="1"/>
      <c r="H18" s="1"/>
      <c r="I18" s="1"/>
      <c r="J18" s="1" t="s">
        <v>2</v>
      </c>
      <c r="K18" s="1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/>
      <c r="B22" s="1"/>
      <c r="C22" s="1"/>
      <c r="D22" s="1"/>
      <c r="E22" s="1"/>
      <c r="F22" s="1"/>
      <c r="G22" s="1"/>
      <c r="H22" s="1" t="s">
        <v>3</v>
      </c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6">
        <v>100</v>
      </c>
      <c r="I23" s="1" t="s">
        <v>4</v>
      </c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/>
      <c r="B25" s="1"/>
      <c r="C25" s="6">
        <v>10</v>
      </c>
      <c r="D25" s="1" t="s">
        <v>5</v>
      </c>
      <c r="E25" s="1"/>
      <c r="F25" s="1"/>
      <c r="G25" s="1"/>
      <c r="H25" s="1"/>
      <c r="I25" s="1"/>
      <c r="J25" s="1"/>
      <c r="K25" s="1"/>
    </row>
    <row r="26" spans="1:1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/>
      <c r="B28" s="3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6" thickBo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1"/>
    </row>
    <row r="32" spans="1:11" ht="16" thickTop="1" x14ac:dyDescent="0.2">
      <c r="A32" t="s">
        <v>6</v>
      </c>
      <c r="D32" t="s">
        <v>7</v>
      </c>
    </row>
    <row r="34" spans="1:14" x14ac:dyDescent="0.2">
      <c r="A34" t="s">
        <v>24</v>
      </c>
    </row>
    <row r="35" spans="1:14" x14ac:dyDescent="0.2">
      <c r="B35" s="6">
        <v>20</v>
      </c>
    </row>
    <row r="36" spans="1:14" x14ac:dyDescent="0.2">
      <c r="M36" s="6"/>
      <c r="N36" t="s">
        <v>52</v>
      </c>
    </row>
    <row r="38" spans="1:14" x14ac:dyDescent="0.2">
      <c r="B38" t="s">
        <v>8</v>
      </c>
      <c r="M38" s="2"/>
      <c r="N38" t="s">
        <v>53</v>
      </c>
    </row>
    <row r="39" spans="1:14" x14ac:dyDescent="0.2">
      <c r="C39" t="s">
        <v>9</v>
      </c>
      <c r="G39" s="6">
        <f>+G12</f>
        <v>40</v>
      </c>
      <c r="H39" t="s">
        <v>0</v>
      </c>
      <c r="I39">
        <f t="shared" ref="I39" si="0">+G39*2.31</f>
        <v>92.4</v>
      </c>
      <c r="J39" t="s">
        <v>10</v>
      </c>
    </row>
    <row r="40" spans="1:14" x14ac:dyDescent="0.2">
      <c r="C40" t="s">
        <v>11</v>
      </c>
      <c r="I40" s="6">
        <f>+H23</f>
        <v>100</v>
      </c>
      <c r="J40" t="s">
        <v>10</v>
      </c>
    </row>
    <row r="41" spans="1:14" x14ac:dyDescent="0.2">
      <c r="D41" t="s">
        <v>12</v>
      </c>
      <c r="F41" s="6">
        <f>+E17</f>
        <v>160</v>
      </c>
      <c r="G41" t="s">
        <v>4</v>
      </c>
    </row>
    <row r="42" spans="1:14" x14ac:dyDescent="0.2">
      <c r="D42" t="s">
        <v>13</v>
      </c>
      <c r="F42" s="2">
        <v>1.5</v>
      </c>
      <c r="G42" t="s">
        <v>4</v>
      </c>
    </row>
    <row r="43" spans="1:14" x14ac:dyDescent="0.2">
      <c r="C43" t="s">
        <v>14</v>
      </c>
      <c r="I43">
        <f>+F41/100*F42</f>
        <v>2.4000000000000004</v>
      </c>
      <c r="J43" t="s">
        <v>10</v>
      </c>
    </row>
    <row r="44" spans="1:14" x14ac:dyDescent="0.2">
      <c r="C44" t="s">
        <v>15</v>
      </c>
      <c r="G44" s="6">
        <v>5</v>
      </c>
      <c r="H44" t="s">
        <v>0</v>
      </c>
      <c r="I44">
        <f t="shared" ref="I44" si="1">+G44*2.31</f>
        <v>11.55</v>
      </c>
      <c r="J44" t="s">
        <v>10</v>
      </c>
    </row>
    <row r="45" spans="1:14" x14ac:dyDescent="0.2">
      <c r="C45" t="s">
        <v>16</v>
      </c>
      <c r="I45" s="5">
        <f>0.1*F41</f>
        <v>16</v>
      </c>
      <c r="J45" t="s">
        <v>10</v>
      </c>
    </row>
    <row r="46" spans="1:14" x14ac:dyDescent="0.2">
      <c r="F46" t="s">
        <v>17</v>
      </c>
      <c r="I46" s="5">
        <f>SUM(I39:I45)</f>
        <v>222.35000000000002</v>
      </c>
      <c r="J46" t="s">
        <v>10</v>
      </c>
    </row>
    <row r="49" spans="2:10" x14ac:dyDescent="0.2">
      <c r="B49" t="s">
        <v>18</v>
      </c>
    </row>
    <row r="50" spans="2:10" x14ac:dyDescent="0.2">
      <c r="C50" t="s">
        <v>19</v>
      </c>
      <c r="I50" s="6">
        <f>+C25*-1</f>
        <v>-10</v>
      </c>
      <c r="J50" t="s">
        <v>10</v>
      </c>
    </row>
    <row r="51" spans="2:10" x14ac:dyDescent="0.2">
      <c r="D51" t="s">
        <v>12</v>
      </c>
      <c r="F51" s="6">
        <f>+B35</f>
        <v>20</v>
      </c>
      <c r="J51" t="s">
        <v>10</v>
      </c>
    </row>
    <row r="52" spans="2:10" x14ac:dyDescent="0.2">
      <c r="D52" t="s">
        <v>13</v>
      </c>
      <c r="F52" s="2">
        <v>1.5</v>
      </c>
      <c r="J52" t="s">
        <v>10</v>
      </c>
    </row>
    <row r="53" spans="2:10" x14ac:dyDescent="0.2">
      <c r="C53" t="s">
        <v>14</v>
      </c>
      <c r="I53">
        <f>+F51/100*F52</f>
        <v>0.30000000000000004</v>
      </c>
      <c r="J53" t="s">
        <v>10</v>
      </c>
    </row>
    <row r="54" spans="2:10" x14ac:dyDescent="0.2">
      <c r="C54" t="s">
        <v>15</v>
      </c>
      <c r="G54" s="6">
        <v>5</v>
      </c>
      <c r="H54" t="s">
        <v>0</v>
      </c>
      <c r="I54">
        <f t="shared" ref="I54" si="2">+G54*2.31</f>
        <v>11.55</v>
      </c>
      <c r="J54" t="s">
        <v>10</v>
      </c>
    </row>
    <row r="55" spans="2:10" x14ac:dyDescent="0.2">
      <c r="C55" t="s">
        <v>16</v>
      </c>
      <c r="I55" s="5">
        <f>0.1*F51</f>
        <v>2</v>
      </c>
      <c r="J55" t="s">
        <v>10</v>
      </c>
    </row>
    <row r="56" spans="2:10" x14ac:dyDescent="0.2">
      <c r="F56" t="s">
        <v>20</v>
      </c>
      <c r="I56">
        <f>SUM(I50:I55)</f>
        <v>3.8500000000000014</v>
      </c>
    </row>
    <row r="59" spans="2:10" x14ac:dyDescent="0.2">
      <c r="E59" t="s">
        <v>21</v>
      </c>
      <c r="I59">
        <f>+I56+I46</f>
        <v>226.20000000000002</v>
      </c>
      <c r="J59" t="s">
        <v>10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A00A-5960-46F4-ACD3-3BAB082E3C69}">
  <dimension ref="A8:N59"/>
  <sheetViews>
    <sheetView topLeftCell="A4" workbookViewId="0">
      <selection activeCell="I50" sqref="I50"/>
    </sheetView>
  </sheetViews>
  <sheetFormatPr baseColWidth="10" defaultColWidth="8.83203125" defaultRowHeight="15" x14ac:dyDescent="0.2"/>
  <sheetData>
    <row r="8" spans="1:1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">
      <c r="A12" s="1"/>
      <c r="B12" s="1"/>
      <c r="C12" s="1"/>
      <c r="D12" s="1"/>
      <c r="E12" s="1"/>
      <c r="F12" s="1"/>
      <c r="G12" s="6">
        <v>40</v>
      </c>
      <c r="H12" s="1" t="s">
        <v>0</v>
      </c>
      <c r="I12" s="1"/>
      <c r="J12" s="1"/>
      <c r="K12" s="1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">
      <c r="A16" s="1"/>
      <c r="B16" s="1"/>
      <c r="C16" s="1"/>
      <c r="D16" s="1"/>
      <c r="E16" s="1"/>
      <c r="F16" s="1"/>
      <c r="G16" s="1"/>
      <c r="H16" s="1"/>
      <c r="I16" s="1"/>
      <c r="J16" s="1" t="s">
        <v>1</v>
      </c>
      <c r="K16" s="1"/>
    </row>
    <row r="17" spans="1:11" x14ac:dyDescent="0.2">
      <c r="A17" s="1"/>
      <c r="B17" s="1"/>
      <c r="C17" s="1"/>
      <c r="D17" s="1" t="s">
        <v>24</v>
      </c>
      <c r="E17" s="1"/>
      <c r="F17" s="1"/>
      <c r="G17" s="1"/>
      <c r="H17" s="1"/>
      <c r="I17" s="1"/>
      <c r="J17" s="1"/>
      <c r="K17" s="1"/>
    </row>
    <row r="18" spans="1:11" x14ac:dyDescent="0.2">
      <c r="A18" s="1"/>
      <c r="B18" s="1"/>
      <c r="C18" s="1"/>
      <c r="D18" s="1"/>
      <c r="E18" s="6">
        <v>160</v>
      </c>
      <c r="F18" s="1"/>
      <c r="G18" s="1"/>
      <c r="H18" s="1"/>
      <c r="I18" s="1"/>
      <c r="J18" s="1" t="s">
        <v>2</v>
      </c>
      <c r="K18" s="1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/>
      <c r="B22" s="1"/>
      <c r="C22" s="1"/>
      <c r="D22" s="1"/>
      <c r="E22" s="1"/>
      <c r="F22" s="1"/>
      <c r="G22" s="1"/>
      <c r="H22" s="1" t="s">
        <v>3</v>
      </c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6">
        <v>100</v>
      </c>
      <c r="I23" s="1" t="s">
        <v>4</v>
      </c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/>
      <c r="B25" s="1"/>
      <c r="C25" s="6">
        <v>40</v>
      </c>
      <c r="D25" s="1" t="s">
        <v>0</v>
      </c>
      <c r="E25" s="1"/>
      <c r="F25" s="1"/>
      <c r="G25" s="1"/>
      <c r="H25" s="1"/>
      <c r="I25" s="1"/>
      <c r="J25" s="1"/>
      <c r="K25" s="1"/>
    </row>
    <row r="26" spans="1:1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/>
      <c r="B28" s="3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6" thickBo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1"/>
    </row>
    <row r="32" spans="1:11" ht="16" thickTop="1" x14ac:dyDescent="0.2">
      <c r="A32" t="s">
        <v>22</v>
      </c>
      <c r="D32" t="s">
        <v>7</v>
      </c>
    </row>
    <row r="34" spans="1:14" x14ac:dyDescent="0.2">
      <c r="A34" t="s">
        <v>24</v>
      </c>
    </row>
    <row r="35" spans="1:14" x14ac:dyDescent="0.2">
      <c r="B35" s="6">
        <v>75</v>
      </c>
      <c r="M35" s="6"/>
      <c r="N35" t="s">
        <v>52</v>
      </c>
    </row>
    <row r="37" spans="1:14" x14ac:dyDescent="0.2">
      <c r="M37" s="2"/>
      <c r="N37" t="s">
        <v>53</v>
      </c>
    </row>
    <row r="38" spans="1:14" x14ac:dyDescent="0.2">
      <c r="A38" t="s">
        <v>8</v>
      </c>
    </row>
    <row r="39" spans="1:14" x14ac:dyDescent="0.2">
      <c r="B39" t="s">
        <v>9</v>
      </c>
      <c r="F39" s="6">
        <f>+G12</f>
        <v>40</v>
      </c>
      <c r="G39" t="s">
        <v>0</v>
      </c>
      <c r="H39">
        <f t="shared" ref="H39" si="0">+F39*2.31</f>
        <v>92.4</v>
      </c>
      <c r="I39" t="s">
        <v>10</v>
      </c>
    </row>
    <row r="40" spans="1:14" x14ac:dyDescent="0.2">
      <c r="B40" t="s">
        <v>11</v>
      </c>
      <c r="F40">
        <f>+H23</f>
        <v>100</v>
      </c>
      <c r="H40">
        <f>+F40</f>
        <v>100</v>
      </c>
      <c r="I40" t="s">
        <v>10</v>
      </c>
    </row>
    <row r="41" spans="1:14" x14ac:dyDescent="0.2">
      <c r="C41" t="s">
        <v>12</v>
      </c>
      <c r="E41" s="6">
        <f>+E18</f>
        <v>160</v>
      </c>
      <c r="F41" t="s">
        <v>4</v>
      </c>
    </row>
    <row r="42" spans="1:14" x14ac:dyDescent="0.2">
      <c r="C42" t="s">
        <v>13</v>
      </c>
      <c r="E42" s="2">
        <v>1.5</v>
      </c>
      <c r="F42" t="s">
        <v>4</v>
      </c>
    </row>
    <row r="43" spans="1:14" x14ac:dyDescent="0.2">
      <c r="B43" t="s">
        <v>14</v>
      </c>
      <c r="H43">
        <f>+E41/100*E42</f>
        <v>2.4000000000000004</v>
      </c>
      <c r="I43" t="s">
        <v>10</v>
      </c>
    </row>
    <row r="44" spans="1:14" x14ac:dyDescent="0.2">
      <c r="B44" t="s">
        <v>15</v>
      </c>
      <c r="F44" s="2">
        <v>5</v>
      </c>
      <c r="G44" t="s">
        <v>0</v>
      </c>
      <c r="H44">
        <f t="shared" ref="H44" si="1">+F44*2.31</f>
        <v>11.55</v>
      </c>
      <c r="I44" t="s">
        <v>10</v>
      </c>
    </row>
    <row r="45" spans="1:14" x14ac:dyDescent="0.2">
      <c r="B45" t="s">
        <v>16</v>
      </c>
      <c r="H45" s="5">
        <f>0.1*E41</f>
        <v>16</v>
      </c>
      <c r="I45" t="s">
        <v>10</v>
      </c>
    </row>
    <row r="46" spans="1:14" x14ac:dyDescent="0.2">
      <c r="E46" t="s">
        <v>17</v>
      </c>
      <c r="H46" s="5">
        <f>SUM(H39:H45)</f>
        <v>222.35000000000002</v>
      </c>
      <c r="I46" t="s">
        <v>10</v>
      </c>
    </row>
    <row r="49" spans="1:9" x14ac:dyDescent="0.2">
      <c r="A49" t="s">
        <v>18</v>
      </c>
    </row>
    <row r="50" spans="1:9" x14ac:dyDescent="0.2">
      <c r="B50" t="s">
        <v>23</v>
      </c>
      <c r="F50" s="6">
        <f>+C25</f>
        <v>40</v>
      </c>
      <c r="G50" t="s">
        <v>0</v>
      </c>
      <c r="H50">
        <f>+F50*2.31*-1</f>
        <v>-92.4</v>
      </c>
      <c r="I50" t="s">
        <v>10</v>
      </c>
    </row>
    <row r="51" spans="1:9" x14ac:dyDescent="0.2">
      <c r="C51" t="s">
        <v>12</v>
      </c>
      <c r="E51" s="6">
        <f>+B35</f>
        <v>75</v>
      </c>
      <c r="I51" t="s">
        <v>10</v>
      </c>
    </row>
    <row r="52" spans="1:9" x14ac:dyDescent="0.2">
      <c r="C52" t="s">
        <v>13</v>
      </c>
      <c r="E52" s="2">
        <v>1.5</v>
      </c>
      <c r="I52" t="s">
        <v>10</v>
      </c>
    </row>
    <row r="53" spans="1:9" x14ac:dyDescent="0.2">
      <c r="B53" t="s">
        <v>14</v>
      </c>
      <c r="H53">
        <f>+E51/100*E52</f>
        <v>1.125</v>
      </c>
      <c r="I53" t="s">
        <v>10</v>
      </c>
    </row>
    <row r="54" spans="1:9" x14ac:dyDescent="0.2">
      <c r="B54" t="s">
        <v>15</v>
      </c>
      <c r="F54" s="2">
        <v>5</v>
      </c>
      <c r="G54" t="s">
        <v>0</v>
      </c>
      <c r="H54">
        <f t="shared" ref="H54" si="2">+F54*2.31</f>
        <v>11.55</v>
      </c>
      <c r="I54" t="s">
        <v>10</v>
      </c>
    </row>
    <row r="55" spans="1:9" x14ac:dyDescent="0.2">
      <c r="B55" t="s">
        <v>16</v>
      </c>
      <c r="H55" s="5">
        <f>0.1*E51</f>
        <v>7.5</v>
      </c>
      <c r="I55" t="s">
        <v>10</v>
      </c>
    </row>
    <row r="56" spans="1:9" x14ac:dyDescent="0.2">
      <c r="E56" t="s">
        <v>20</v>
      </c>
      <c r="H56">
        <f>SUM(H50:H55)</f>
        <v>-72.225000000000009</v>
      </c>
    </row>
    <row r="59" spans="1:9" x14ac:dyDescent="0.2">
      <c r="D59" t="s">
        <v>21</v>
      </c>
      <c r="H59">
        <f>+H56+H46</f>
        <v>150.125</v>
      </c>
      <c r="I59" t="s">
        <v>10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flow rate</vt:lpstr>
      <vt:lpstr>day tank</vt:lpstr>
      <vt:lpstr>Municipal 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Dexter Mabalot</dc:creator>
  <cp:lastModifiedBy>Krisen Kuppusamy</cp:lastModifiedBy>
  <dcterms:created xsi:type="dcterms:W3CDTF">2023-11-06T14:32:51Z</dcterms:created>
  <dcterms:modified xsi:type="dcterms:W3CDTF">2023-11-20T00:09:45Z</dcterms:modified>
</cp:coreProperties>
</file>